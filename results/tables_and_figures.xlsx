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考_流量と被覆率" sheetId="1" state="visible" r:id="rId1"/>
    <sheet xmlns:r="http://schemas.openxmlformats.org/officeDocument/2006/relationships" name="表1_閾値と既存の割合" sheetId="2" state="visible" r:id="rId2"/>
    <sheet xmlns:r="http://schemas.openxmlformats.org/officeDocument/2006/relationships" name="表2_分類器の性能" sheetId="3" state="visible" r:id="rId3"/>
    <sheet xmlns:r="http://schemas.openxmlformats.org/officeDocument/2006/relationships" name="表3_新規既存別の内容" sheetId="4" state="visible" r:id="rId4"/>
    <sheet xmlns:r="http://schemas.openxmlformats.org/officeDocument/2006/relationships" name="表3補足_目視確認" sheetId="5" state="visible" r:id="rId5"/>
    <sheet xmlns:r="http://schemas.openxmlformats.org/officeDocument/2006/relationships" name="表3補足_頑健性" sheetId="6" state="visible" r:id="rId6"/>
    <sheet xmlns:r="http://schemas.openxmlformats.org/officeDocument/2006/relationships" name="図1_元データ" sheetId="7" state="visible" r:id="rId7"/>
    <sheet xmlns:r="http://schemas.openxmlformats.org/officeDocument/2006/relationships" name="図2_元データ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.40000000000001" customWidth="1" min="1" max="1"/>
    <col width="48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s="2" t="inlineStr">
        <is>
          <t>計測した時間窓の数</t>
        </is>
      </c>
      <c r="B2" s="2" t="n">
        <v>14</v>
      </c>
    </row>
    <row r="3">
      <c r="A3" s="2" t="inlineStr">
        <is>
          <t>証明書（件/日）平均</t>
        </is>
      </c>
      <c r="B3" s="2" t="inlineStr">
        <is>
          <t>2,210,214</t>
        </is>
      </c>
    </row>
    <row r="4">
      <c r="A4" s="2" t="inlineStr">
        <is>
          <t>証明書（件/日）標準偏差</t>
        </is>
      </c>
      <c r="B4" s="2" t="inlineStr">
        <is>
          <t>846,180</t>
        </is>
      </c>
    </row>
    <row r="5">
      <c r="A5" s="2" t="inlineStr">
        <is>
          <t>証明書（件/日）範囲</t>
        </is>
      </c>
      <c r="B5" s="2" t="inlineStr">
        <is>
          <t>1,058,453〜4,142,792</t>
        </is>
      </c>
    </row>
    <row r="6">
      <c r="A6" s="2" t="inlineStr">
        <is>
          <t>ユニークなapex（件/日）平均</t>
        </is>
      </c>
      <c r="B6" s="2" t="inlineStr">
        <is>
          <t>1,052,924</t>
        </is>
      </c>
    </row>
    <row r="7">
      <c r="A7" s="2" t="inlineStr">
        <is>
          <t>品質フィルタ後のapex（件/日）平均</t>
        </is>
      </c>
      <c r="B7" s="2" t="inlineStr">
        <is>
          <t>425,559</t>
        </is>
      </c>
    </row>
    <row r="8">
      <c r="A8" s="2" t="inlineStr">
        <is>
          <t>日次サンプル（件/日）</t>
        </is>
      </c>
      <c r="B8" s="2" t="inlineStr">
        <is>
          <t>50,000</t>
        </is>
      </c>
    </row>
    <row r="9">
      <c r="A9" s="2" t="inlineStr">
        <is>
          <t>被覆率 平均</t>
        </is>
      </c>
      <c r="B9" s="2" t="inlineStr">
        <is>
          <t>2.26%</t>
        </is>
      </c>
    </row>
    <row r="10">
      <c r="A10" s="2" t="inlineStr">
        <is>
          <t>被覆率 範囲</t>
        </is>
      </c>
      <c r="B10" s="2" t="inlineStr">
        <is>
          <t>1.21〜4.72%</t>
        </is>
      </c>
    </row>
    <row r="11">
      <c r="A11" s="2" t="inlineStr">
        <is>
          <t>捕捉確率 k=1</t>
        </is>
      </c>
      <c r="B11" s="2" t="inlineStr">
        <is>
          <t>2.3%</t>
        </is>
      </c>
    </row>
    <row r="12">
      <c r="A12" s="2" t="inlineStr">
        <is>
          <t>捕捉確率 k=3</t>
        </is>
      </c>
      <c r="B12" s="2" t="inlineStr">
        <is>
          <t>6.6%</t>
        </is>
      </c>
    </row>
    <row r="13">
      <c r="A13" s="2" t="inlineStr">
        <is>
          <t>捕捉確率 k=5</t>
        </is>
      </c>
      <c r="B13" s="2" t="inlineStr">
        <is>
          <t>10.8%</t>
        </is>
      </c>
    </row>
    <row r="14"/>
    <row r="15">
      <c r="A15" t="inlineStr">
        <is>
          <t>注</t>
        </is>
      </c>
      <c r="B15" t="inlineStr">
        <is>
          <t>捕捉確率 P=1-(1-c)^k（証明書の発行時刻が取得時刻と独立と仮定）。crt.shで観測できる範囲の値であり，実際の発行量より少ない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.6" customWidth="1" min="1" max="1"/>
    <col width="48" customWidth="1" min="2" max="2"/>
    <col width="18" customWidth="1" min="3" max="3"/>
    <col width="6.800000000000001" customWidth="1" min="4" max="4"/>
  </cols>
  <sheetData>
    <row r="1">
      <c r="A1" s="1" t="inlineStr">
        <is>
          <t>新規と既存を分ける閾値</t>
        </is>
      </c>
      <c r="B1" s="1" t="inlineStr">
        <is>
          <t>既存の割合(%)</t>
        </is>
      </c>
      <c r="C1" s="1" t="inlineStr">
        <is>
          <t>95%信頼区間(%)</t>
        </is>
      </c>
      <c r="D1" s="1" t="inlineStr">
        <is>
          <t>n</t>
        </is>
      </c>
    </row>
    <row r="2">
      <c r="A2" s="2" t="inlineStr">
        <is>
          <t>30日</t>
        </is>
      </c>
      <c r="B2" s="2" t="n">
        <v>93.40000000000001</v>
      </c>
      <c r="C2" s="2" t="inlineStr">
        <is>
          <t>91.4〜94.9</t>
        </is>
      </c>
      <c r="D2" s="2" t="n">
        <v>755</v>
      </c>
    </row>
    <row r="3">
      <c r="A3" s="2" t="inlineStr">
        <is>
          <t>60日</t>
        </is>
      </c>
      <c r="B3" s="2" t="n">
        <v>91.5</v>
      </c>
      <c r="C3" s="2" t="inlineStr">
        <is>
          <t>89.3〜93.3</t>
        </is>
      </c>
      <c r="D3" s="2" t="n">
        <v>755</v>
      </c>
    </row>
    <row r="4">
      <c r="A4" s="2" t="inlineStr">
        <is>
          <t>90日</t>
        </is>
      </c>
      <c r="B4" s="2" t="n">
        <v>87.5</v>
      </c>
      <c r="C4" s="2" t="inlineStr">
        <is>
          <t>85.0〜89.7</t>
        </is>
      </c>
      <c r="D4" s="2" t="n">
        <v>755</v>
      </c>
    </row>
    <row r="5">
      <c r="A5" s="2" t="inlineStr">
        <is>
          <t>120日</t>
        </is>
      </c>
      <c r="B5" s="2" t="n">
        <v>86.09999999999999</v>
      </c>
      <c r="C5" s="2" t="inlineStr">
        <is>
          <t>83.4〜88.4</t>
        </is>
      </c>
      <c r="D5" s="2" t="n">
        <v>755</v>
      </c>
    </row>
    <row r="6">
      <c r="A6" s="2" t="inlineStr">
        <is>
          <t>180日</t>
        </is>
      </c>
      <c r="B6" s="2" t="n">
        <v>83</v>
      </c>
      <c r="C6" s="2" t="inlineStr">
        <is>
          <t>80.2〜85.6</t>
        </is>
      </c>
      <c r="D6" s="2" t="n">
        <v>755</v>
      </c>
    </row>
    <row r="7">
      <c r="A7" s="2" t="inlineStr">
        <is>
          <t>365日</t>
        </is>
      </c>
      <c r="B7" s="2" t="n">
        <v>71.90000000000001</v>
      </c>
      <c r="C7" s="2" t="inlineStr">
        <is>
          <t>68.6〜75.0</t>
        </is>
      </c>
      <c r="D7" s="2" t="n">
        <v>755</v>
      </c>
    </row>
    <row r="8">
      <c r="A8" s="2" t="inlineStr">
        <is>
          <t>730日</t>
        </is>
      </c>
      <c r="B8" s="2" t="n">
        <v>58.4</v>
      </c>
      <c r="C8" s="2" t="inlineStr">
        <is>
          <t>54.9〜61.9</t>
        </is>
      </c>
      <c r="D8" s="2" t="n">
        <v>755</v>
      </c>
    </row>
    <row r="9"/>
    <row r="10">
      <c r="A10" t="inlineStr">
        <is>
          <t>注</t>
        </is>
      </c>
      <c r="B10" t="inlineStr">
        <is>
          <t>RDAP登録日を取得できた無作為標本755件。登録からの経過日数の中央値 1097日。初回証明書日による判定との一致率 96.9%（n=162）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6.4" customWidth="1" min="3" max="3"/>
    <col width="21.2" customWidth="1" min="4" max="4"/>
    <col width="16.4" customWidth="1" min="5" max="5"/>
    <col width="19.6" customWidth="1" min="6" max="6"/>
    <col width="43.6" customWidth="1" min="7" max="7"/>
  </cols>
  <sheetData>
    <row r="1">
      <c r="A1" s="1" t="inlineStr">
        <is>
          <t>分類器</t>
        </is>
      </c>
      <c r="B1" s="1" t="inlineStr">
        <is>
          <t>正解率(%)</t>
        </is>
      </c>
      <c r="C1" s="1" t="inlineStr">
        <is>
          <t>正解率の95%CI</t>
        </is>
      </c>
      <c r="D1" s="1" t="inlineStr">
        <is>
          <t>abuse再現率</t>
        </is>
      </c>
      <c r="E1" s="1" t="inlineStr">
        <is>
          <t>再現率の95%CI</t>
        </is>
      </c>
      <c r="F1" s="1" t="inlineStr">
        <is>
          <t>abuse適合率</t>
        </is>
      </c>
      <c r="G1" s="1" t="inlineStr">
        <is>
          <t>McNemar p（再現率, 対ヒューリスティック）</t>
        </is>
      </c>
    </row>
    <row r="2">
      <c r="A2" s="2" t="inlineStr">
        <is>
          <t>ヒューリスティック</t>
        </is>
      </c>
      <c r="B2" s="2" t="n">
        <v>86.3</v>
      </c>
      <c r="C2" s="2" t="inlineStr">
        <is>
          <t>79.3〜91.1</t>
        </is>
      </c>
      <c r="D2" s="2" t="inlineStr">
        <is>
          <t>0.75（36/48）</t>
        </is>
      </c>
      <c r="E2" s="2" t="inlineStr">
        <is>
          <t>0.61〜0.85</t>
        </is>
      </c>
      <c r="F2" s="2" t="n">
        <v>0.92</v>
      </c>
      <c r="G2" s="2" t="inlineStr">
        <is>
          <t>—</t>
        </is>
      </c>
    </row>
    <row r="3">
      <c r="A3" s="2" t="inlineStr">
        <is>
          <t>gpt-5.3-codex-spark</t>
        </is>
      </c>
      <c r="B3" s="2" t="n">
        <v>89.3</v>
      </c>
      <c r="C3" s="2" t="inlineStr">
        <is>
          <t>82.9〜93.5</t>
        </is>
      </c>
      <c r="D3" s="2" t="inlineStr">
        <is>
          <t>0.90（43/48）</t>
        </is>
      </c>
      <c r="E3" s="2" t="inlineStr">
        <is>
          <t>0.78〜0.95</t>
        </is>
      </c>
      <c r="F3" s="2" t="n">
        <v>0.84</v>
      </c>
      <c r="G3" s="2" t="inlineStr">
        <is>
          <t>0.016</t>
        </is>
      </c>
    </row>
    <row r="4">
      <c r="A4" s="2" t="inlineStr">
        <is>
          <t>gpt-5.5（a）</t>
        </is>
      </c>
      <c r="B4" s="2" t="n">
        <v>90.09999999999999</v>
      </c>
      <c r="C4" s="2" t="inlineStr">
        <is>
          <t>83.8〜94.1</t>
        </is>
      </c>
      <c r="D4" s="2" t="inlineStr">
        <is>
          <t>0.92（44/48）</t>
        </is>
      </c>
      <c r="E4" s="2" t="inlineStr">
        <is>
          <t>0.80〜0.97</t>
        </is>
      </c>
      <c r="F4" s="2" t="n">
        <v>0.85</v>
      </c>
      <c r="G4" s="2" t="inlineStr">
        <is>
          <t>0.008</t>
        </is>
      </c>
    </row>
    <row r="5">
      <c r="A5" s="2" t="inlineStr">
        <is>
          <t>gpt-5.5（b）</t>
        </is>
      </c>
      <c r="B5" s="2" t="n">
        <v>89.3</v>
      </c>
      <c r="C5" s="2" t="inlineStr">
        <is>
          <t>82.9〜93.5</t>
        </is>
      </c>
      <c r="D5" s="2" t="inlineStr">
        <is>
          <t>0.92（44/48）</t>
        </is>
      </c>
      <c r="E5" s="2" t="inlineStr">
        <is>
          <t>0.80〜0.97</t>
        </is>
      </c>
      <c r="F5" s="2" t="n">
        <v>0.83</v>
      </c>
      <c r="G5" s="2" t="inlineStr">
        <is>
          <t>0.008</t>
        </is>
      </c>
    </row>
    <row r="6">
      <c r="A6" s="2" t="inlineStr">
        <is>
          <t>gpt-5.5（c）</t>
        </is>
      </c>
      <c r="B6" s="2" t="n">
        <v>90.09999999999999</v>
      </c>
      <c r="C6" s="2" t="inlineStr">
        <is>
          <t>83.8〜94.1</t>
        </is>
      </c>
      <c r="D6" s="2" t="inlineStr">
        <is>
          <t>0.92（44/48）</t>
        </is>
      </c>
      <c r="E6" s="2" t="inlineStr">
        <is>
          <t>0.80〜0.97</t>
        </is>
      </c>
      <c r="F6" s="2" t="n">
        <v>0.85</v>
      </c>
      <c r="G6" s="2" t="inlineStr">
        <is>
          <t>0.008</t>
        </is>
      </c>
    </row>
    <row r="7">
      <c r="A7" s="2" t="inlineStr">
        <is>
          <t>Qwen2.5-7B-Instruct</t>
        </is>
      </c>
      <c r="B7" s="2" t="n">
        <v>86.3</v>
      </c>
      <c r="C7" s="2" t="inlineStr">
        <is>
          <t>79.3〜91.1</t>
        </is>
      </c>
      <c r="D7" s="2" t="inlineStr">
        <is>
          <t>0.83（40/48）</t>
        </is>
      </c>
      <c r="E7" s="2" t="inlineStr">
        <is>
          <t>0.70〜0.91</t>
        </is>
      </c>
      <c r="F7" s="2" t="n">
        <v>0.82</v>
      </c>
      <c r="G7" s="2" t="inlineStr">
        <is>
          <t>0.289</t>
        </is>
      </c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inlineStr">
        <is>
          <t>【無作為標本の目視確認（100件，盲検）】</t>
        </is>
      </c>
      <c r="B9" s="2" t="inlineStr">
        <is>
          <t>正解率(%)※</t>
        </is>
      </c>
      <c r="C9" s="2" t="inlineStr"/>
      <c r="D9" s="2" t="inlineStr">
        <is>
          <t>abuse再現率（推定）</t>
        </is>
      </c>
      <c r="E9" s="2" t="inlineStr">
        <is>
          <t>再現率の範囲</t>
        </is>
      </c>
      <c r="F9" s="2" t="inlineStr">
        <is>
          <t>abuse適合率</t>
        </is>
      </c>
      <c r="G9" s="2" t="inlineStr"/>
    </row>
    <row r="10">
      <c r="A10" s="2" t="inlineStr">
        <is>
          <t>gpt-5.5</t>
        </is>
      </c>
      <c r="B10" s="2" t="n">
        <v>93.59999999999999</v>
      </c>
      <c r="C10" s="2" t="inlineStr"/>
      <c r="D10" s="2" t="inlineStr">
        <is>
          <t>0.78</t>
        </is>
      </c>
      <c r="E10" s="2" t="inlineStr">
        <is>
          <t>0.39〜0.95</t>
        </is>
      </c>
      <c r="F10" s="2" t="inlineStr">
        <is>
          <t>0.81（17/21）</t>
        </is>
      </c>
      <c r="G10" s="2" t="inlineStr"/>
    </row>
    <row r="11">
      <c r="A11" s="2" t="inlineStr">
        <is>
          <t>ヒューリスティック</t>
        </is>
      </c>
      <c r="B11" s="2" t="n">
        <v>70.59999999999999</v>
      </c>
      <c r="C11" s="2" t="inlineStr"/>
      <c r="D11" s="2" t="inlineStr">
        <is>
          <t>0.59</t>
        </is>
      </c>
      <c r="E11" s="2" t="inlineStr">
        <is>
          <t>0.30〜0.73</t>
        </is>
      </c>
      <c r="F11" s="2" t="inlineStr">
        <is>
          <t>0.57（13/23）</t>
        </is>
      </c>
      <c r="G11" s="2" t="inlineStr"/>
    </row>
    <row r="12">
      <c r="A12" s="2" t="inlineStr">
        <is>
          <t>※内容のあるページ367件で層の大きさに応じて重み付け。再現率は見逃しの割合（69件中1件）とその95%CIから推定</t>
        </is>
      </c>
      <c r="B12" s="2" t="n"/>
      <c r="C12" s="2" t="n"/>
      <c r="D12" s="2" t="n"/>
      <c r="E12" s="2" t="n"/>
      <c r="F12" s="2" t="n"/>
      <c r="G12" s="2" t="n"/>
    </row>
    <row r="13"/>
    <row r="14">
      <c r="A14" t="inlineStr">
        <is>
          <t>注</t>
        </is>
      </c>
      <c r="B14" t="inlineStr">
        <is>
          <t>正解付き到達ページ131件。gpt-5.5の3回の試行間一致 99.2〜100%，Fleissのκ=0.990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9.6" customWidth="1" min="1" max="1"/>
    <col width="48" customWidth="1" min="2" max="2"/>
    <col width="13.2" customWidth="1" min="3" max="3"/>
    <col width="18" customWidth="1" min="4" max="4"/>
    <col width="24.4" customWidth="1" min="5" max="5"/>
    <col width="29.2" customWidth="1" min="6" max="6"/>
    <col width="14.8" customWidth="1" min="7" max="7"/>
    <col width="19.6" customWidth="1" min="8" max="8"/>
  </cols>
  <sheetData>
    <row r="1">
      <c r="A1" s="1" t="inlineStr">
        <is>
          <t>区分</t>
        </is>
      </c>
      <c r="B1" s="1" t="inlineStr">
        <is>
          <t>n</t>
        </is>
      </c>
      <c r="C1" s="1" t="inlineStr">
        <is>
          <t>live(%)</t>
        </is>
      </c>
      <c r="D1" s="1" t="inlineStr">
        <is>
          <t>live 95%CI</t>
        </is>
      </c>
      <c r="E1" s="1" t="inlineStr">
        <is>
          <t>non-content(%)</t>
        </is>
      </c>
      <c r="F1" s="1" t="inlineStr">
        <is>
          <t>non-content 95%CI</t>
        </is>
      </c>
      <c r="G1" s="1" t="inlineStr">
        <is>
          <t>abuse(%)</t>
        </is>
      </c>
      <c r="H1" s="1" t="inlineStr">
        <is>
          <t>abuse 95%CI</t>
        </is>
      </c>
    </row>
    <row r="2">
      <c r="A2" s="2" t="inlineStr">
        <is>
          <t>全体</t>
        </is>
      </c>
      <c r="B2" s="2" t="n">
        <v>1020</v>
      </c>
      <c r="C2" s="2" t="n">
        <v>29.1</v>
      </c>
      <c r="D2" s="2" t="inlineStr">
        <is>
          <t>26.4〜32.0</t>
        </is>
      </c>
      <c r="E2" s="2" t="n">
        <v>68.7</v>
      </c>
      <c r="F2" s="2" t="inlineStr">
        <is>
          <t>65.8〜71.5</t>
        </is>
      </c>
      <c r="G2" s="2" t="n">
        <v>2.2</v>
      </c>
      <c r="H2" s="2" t="inlineStr">
        <is>
          <t>1.4〜3.2</t>
        </is>
      </c>
    </row>
    <row r="3">
      <c r="A3" s="2" t="inlineStr">
        <is>
          <t>新規（登録≤120日）</t>
        </is>
      </c>
      <c r="B3" s="2" t="n">
        <v>105</v>
      </c>
      <c r="C3" s="2" t="n">
        <v>27.6</v>
      </c>
      <c r="D3" s="2" t="inlineStr">
        <is>
          <t>20.0〜36.8</t>
        </is>
      </c>
      <c r="E3" s="2" t="n">
        <v>62.9</v>
      </c>
      <c r="F3" s="2" t="inlineStr">
        <is>
          <t>53.3〜71.5</t>
        </is>
      </c>
      <c r="G3" s="2" t="n">
        <v>9.5</v>
      </c>
      <c r="H3" s="2" t="inlineStr">
        <is>
          <t>5.3〜16.6</t>
        </is>
      </c>
    </row>
    <row r="4">
      <c r="A4" s="2" t="inlineStr">
        <is>
          <t>既存（登録&gt;120日）</t>
        </is>
      </c>
      <c r="B4" s="2" t="n">
        <v>650</v>
      </c>
      <c r="C4" s="2" t="n">
        <v>28.8</v>
      </c>
      <c r="D4" s="2" t="inlineStr">
        <is>
          <t>25.4〜32.4</t>
        </is>
      </c>
      <c r="E4" s="2" t="n">
        <v>69.5</v>
      </c>
      <c r="F4" s="2" t="inlineStr">
        <is>
          <t>65.9〜73.0</t>
        </is>
      </c>
      <c r="G4" s="2" t="n">
        <v>1.7</v>
      </c>
      <c r="H4" s="2" t="inlineStr">
        <is>
          <t>0.9〜3.0</t>
        </is>
      </c>
    </row>
    <row r="5">
      <c r="A5" s="2" t="inlineStr">
        <is>
          <t>登録日不明</t>
        </is>
      </c>
      <c r="B5" s="2" t="n">
        <v>265</v>
      </c>
      <c r="C5" s="2" t="n">
        <v>30.6</v>
      </c>
      <c r="D5" s="2" t="inlineStr">
        <is>
          <t>25.3〜36.4</t>
        </is>
      </c>
      <c r="E5" s="2" t="n">
        <v>69.09999999999999</v>
      </c>
      <c r="F5" s="2" t="inlineStr">
        <is>
          <t>63.3〜74.3</t>
        </is>
      </c>
      <c r="G5" s="2" t="n">
        <v>0.4</v>
      </c>
      <c r="H5" s="2" t="inlineStr">
        <is>
          <t>0.1〜2.1</t>
        </is>
      </c>
    </row>
    <row r="6"/>
    <row r="7">
      <c r="A7" t="inlineStr">
        <is>
          <t>注</t>
        </is>
      </c>
      <c r="B7" t="inlineStr">
        <is>
          <t>無作為標本のトップページを2026-10-02に取得しgpt-5.5で分類。abuseの割合 新規 vs 既存: Fisher p=1.7e-04, オッズ比 6.1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無作為標本100件の目視確認（分類器の判定を伏せて著者が判定）</t>
        </is>
      </c>
    </row>
    <row r="2">
      <c r="A2" s="2" t="inlineStr">
        <is>
          <t>読込 verify_labels.csv  判定 100件（判断不能 1件）</t>
        </is>
      </c>
    </row>
    <row r="3">
      <c r="A3" s="2" t="inlineStr"/>
    </row>
    <row r="4">
      <c r="A4" s="2">
        <f>=== 1. abuse 判定の適合率と見逃し ====</f>
        <v/>
      </c>
    </row>
    <row r="5">
      <c r="A5" s="2" t="inlineStr">
        <is>
          <t xml:space="preserve">  gpt-5.5: abuse判定 21件のうち目視でabuse 17件  適合率 0.81（95%CI 0.60〜0.92）  誤りの内訳 live 2 / non-content 2</t>
        </is>
      </c>
    </row>
    <row r="6">
      <c r="A6" s="2" t="inlineStr">
        <is>
          <t xml:space="preserve">  語彙規則: abuse判定 23件のうち目視でabuse 13件  適合率 0.57（95%CI 0.37〜0.74）  誤りの内訳 live 10 / non-content 0</t>
        </is>
      </c>
    </row>
    <row r="7">
      <c r="A7" s="2" t="inlineStr">
        <is>
          <t xml:space="preserve">  どちらも abuse としなかった内容ありページ 338件から無作為に 69件 → 目視で abuse 1件（1.4%，95%CI 0.3〜7.8%）</t>
        </is>
      </c>
    </row>
    <row r="8">
      <c r="A8" s="2" t="inlineStr">
        <is>
          <t xml:space="preserve">  gpt-5.5 の推定再現率 17/21.9 = 0.78（abuse判定ありの層の確認済み abuse 17件＋見逃し推定 4.9件）</t>
        </is>
      </c>
    </row>
    <row r="9">
      <c r="A9" s="2" t="inlineStr">
        <is>
          <t xml:space="preserve">  語彙規則 の推定再現率 13/21.9 = 0.59（abuse判定ありの層の確認済み abuse 17件＋見逃し推定 4.9件）</t>
        </is>
      </c>
    </row>
    <row r="10">
      <c r="A10" s="2" t="inlineStr"/>
    </row>
    <row r="11">
      <c r="A11" s="2">
        <f>=== 2. 内容ありページでの3分類の正解率（重み付け） ====</f>
        <v/>
      </c>
    </row>
    <row r="12">
      <c r="A12" s="2" t="inlineStr">
        <is>
          <t xml:space="preserve">  gpt-5.5: 正解率 93.6%（abuse判定ありの層 25/29，それ以外の層 65/69，母数 367件）</t>
        </is>
      </c>
    </row>
    <row r="13">
      <c r="A13" s="2" t="inlineStr">
        <is>
          <t xml:space="preserve">  語彙規則: 正解率 70.6%（abuse判定ありの層 14/29，それ以外の層 50/69，母数 367件）</t>
        </is>
      </c>
    </row>
    <row r="14">
      <c r="A14" s="2" t="inlineStr"/>
    </row>
    <row r="15">
      <c r="A15" s="2">
        <f>=== 3. 目視で abuse と確認したドメインによる新規・既存の比較 ====</f>
        <v/>
      </c>
    </row>
    <row r="16">
      <c r="A16" s="2" t="inlineStr">
        <is>
          <t xml:space="preserve">  [gpt-5.5の判定（従来）] 新規 10/105=9.5%  既存 11/650=1.7%  OR=6.11  リスク比=5.63  Fisher p=1.7e-04  abuseに占める新規 10/21=47.6%（CI 28〜68%）</t>
        </is>
      </c>
    </row>
    <row r="17">
      <c r="A17" s="2" t="inlineStr">
        <is>
          <t xml:space="preserve">  [目視で確認したabuse（abuse判定ありの層＋無作為抽出の層）] 新規 8/105=7.6%  既存 8/650=1.2%  OR=6.62  リスク比=6.19  Fisher p=5.3e-04  abuseに占める新規 8/16=50.0%（CI 28〜72%）</t>
        </is>
      </c>
    </row>
    <row r="18">
      <c r="A18" s="2" t="inlineStr">
        <is>
          <t xml:space="preserve">  gpt-5.5 の適合率（新規） 8/10</t>
        </is>
      </c>
    </row>
    <row r="19">
      <c r="A19" s="2" t="inlineStr">
        <is>
          <t xml:space="preserve">  gpt-5.5 の適合率（既存） 8/10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.2" customWidth="1" min="1" max="1"/>
    <col width="48" customWidth="1" min="2" max="2"/>
    <col width="8.4" customWidth="1" min="3" max="3"/>
    <col width="14.8" customWidth="1" min="4" max="4"/>
    <col width="19.6" customWidth="1" min="5" max="5"/>
    <col width="14.8" customWidth="1" min="6" max="6"/>
    <col width="19.6" customWidth="1" min="7" max="7"/>
    <col width="8.4" customWidth="1" min="8" max="8"/>
    <col width="14.8" customWidth="1" min="9" max="9"/>
    <col width="14.8" customWidth="1" min="10" max="10"/>
    <col width="24.4" customWidth="1" min="11" max="11"/>
  </cols>
  <sheetData>
    <row r="1">
      <c r="A1" s="1" t="inlineStr">
        <is>
          <t>対象</t>
        </is>
      </c>
      <c r="B1" s="1" t="inlineStr">
        <is>
          <t>分類器</t>
        </is>
      </c>
      <c r="C1" s="1" t="inlineStr">
        <is>
          <t>閾値</t>
        </is>
      </c>
      <c r="D1" s="1" t="inlineStr">
        <is>
          <t>新規 abuse</t>
        </is>
      </c>
      <c r="E1" s="1" t="inlineStr">
        <is>
          <t>新規 abuse(%)</t>
        </is>
      </c>
      <c r="F1" s="1" t="inlineStr">
        <is>
          <t>既存 abuse</t>
        </is>
      </c>
      <c r="G1" s="1" t="inlineStr">
        <is>
          <t>既存 abuse(%)</t>
        </is>
      </c>
      <c r="H1" s="1" t="inlineStr">
        <is>
          <t>オッズ比</t>
        </is>
      </c>
      <c r="I1" s="1" t="inlineStr">
        <is>
          <t>Fisher p</t>
        </is>
      </c>
      <c r="J1" s="1" t="inlineStr">
        <is>
          <t>新規の割合(%)</t>
        </is>
      </c>
      <c r="K1" s="1" t="inlineStr">
        <is>
          <t>abuseに占める新規(%)</t>
        </is>
      </c>
    </row>
    <row r="2">
      <c r="A2" s="2" t="inlineStr">
        <is>
          <t>全件</t>
        </is>
      </c>
      <c r="B2" s="2" t="inlineStr">
        <is>
          <t>gpt-5.5</t>
        </is>
      </c>
      <c r="C2" s="2" t="inlineStr">
        <is>
          <t>60日</t>
        </is>
      </c>
      <c r="D2" s="2" t="inlineStr">
        <is>
          <t>6/64</t>
        </is>
      </c>
      <c r="E2" s="2" t="n">
        <v>9.4</v>
      </c>
      <c r="F2" s="2" t="inlineStr">
        <is>
          <t>15/691</t>
        </is>
      </c>
      <c r="G2" s="2" t="n">
        <v>2.2</v>
      </c>
      <c r="H2" s="2" t="n">
        <v>4.7</v>
      </c>
      <c r="I2" s="2" t="inlineStr">
        <is>
          <t>5.8e-03</t>
        </is>
      </c>
      <c r="J2" s="2" t="n">
        <v>8.5</v>
      </c>
      <c r="K2" s="2" t="n">
        <v>28.6</v>
      </c>
    </row>
    <row r="3">
      <c r="A3" s="2" t="inlineStr">
        <is>
          <t>全件</t>
        </is>
      </c>
      <c r="B3" s="2" t="inlineStr">
        <is>
          <t>gpt-5.5</t>
        </is>
      </c>
      <c r="C3" s="2" t="inlineStr">
        <is>
          <t>90日</t>
        </is>
      </c>
      <c r="D3" s="2" t="inlineStr">
        <is>
          <t>9/94</t>
        </is>
      </c>
      <c r="E3" s="2" t="n">
        <v>9.6</v>
      </c>
      <c r="F3" s="2" t="inlineStr">
        <is>
          <t>12/661</t>
        </is>
      </c>
      <c r="G3" s="2" t="n">
        <v>1.8</v>
      </c>
      <c r="H3" s="2" t="n">
        <v>5.7</v>
      </c>
      <c r="I3" s="2" t="inlineStr">
        <is>
          <t>4.1e-04</t>
        </is>
      </c>
      <c r="J3" s="2" t="n">
        <v>12.5</v>
      </c>
      <c r="K3" s="2" t="n">
        <v>42.9</v>
      </c>
    </row>
    <row r="4">
      <c r="A4" s="2" t="inlineStr">
        <is>
          <t>全件</t>
        </is>
      </c>
      <c r="B4" s="2" t="inlineStr">
        <is>
          <t>gpt-5.5</t>
        </is>
      </c>
      <c r="C4" s="2" t="inlineStr">
        <is>
          <t>120日</t>
        </is>
      </c>
      <c r="D4" s="2" t="inlineStr">
        <is>
          <t>10/105</t>
        </is>
      </c>
      <c r="E4" s="2" t="n">
        <v>9.5</v>
      </c>
      <c r="F4" s="2" t="inlineStr">
        <is>
          <t>11/650</t>
        </is>
      </c>
      <c r="G4" s="2" t="n">
        <v>1.7</v>
      </c>
      <c r="H4" s="2" t="n">
        <v>6.1</v>
      </c>
      <c r="I4" s="2" t="inlineStr">
        <is>
          <t>1.7e-04</t>
        </is>
      </c>
      <c r="J4" s="2" t="n">
        <v>13.9</v>
      </c>
      <c r="K4" s="2" t="n">
        <v>47.6</v>
      </c>
    </row>
    <row r="5">
      <c r="A5" s="2" t="inlineStr">
        <is>
          <t>全件</t>
        </is>
      </c>
      <c r="B5" s="2" t="inlineStr">
        <is>
          <t>gpt-5.5</t>
        </is>
      </c>
      <c r="C5" s="2" t="inlineStr">
        <is>
          <t>180日</t>
        </is>
      </c>
      <c r="D5" s="2" t="inlineStr">
        <is>
          <t>11/128</t>
        </is>
      </c>
      <c r="E5" s="2" t="n">
        <v>8.6</v>
      </c>
      <c r="F5" s="2" t="inlineStr">
        <is>
          <t>10/627</t>
        </is>
      </c>
      <c r="G5" s="2" t="n">
        <v>1.6</v>
      </c>
      <c r="H5" s="2" t="n">
        <v>5.8</v>
      </c>
      <c r="I5" s="2" t="inlineStr">
        <is>
          <t>1.7e-04</t>
        </is>
      </c>
      <c r="J5" s="2" t="n">
        <v>17</v>
      </c>
      <c r="K5" s="2" t="n">
        <v>52.4</v>
      </c>
    </row>
    <row r="6">
      <c r="A6" s="2" t="inlineStr">
        <is>
          <t>全件</t>
        </is>
      </c>
      <c r="B6" s="2" t="inlineStr">
        <is>
          <t>gpt-5.5</t>
        </is>
      </c>
      <c r="C6" s="2" t="inlineStr">
        <is>
          <t>365日</t>
        </is>
      </c>
      <c r="D6" s="2" t="inlineStr">
        <is>
          <t>15/212</t>
        </is>
      </c>
      <c r="E6" s="2" t="n">
        <v>7.1</v>
      </c>
      <c r="F6" s="2" t="inlineStr">
        <is>
          <t>6/543</t>
        </is>
      </c>
      <c r="G6" s="2" t="n">
        <v>1.1</v>
      </c>
      <c r="H6" s="2" t="n">
        <v>6.8</v>
      </c>
      <c r="I6" s="2" t="inlineStr">
        <is>
          <t>3.6e-05</t>
        </is>
      </c>
      <c r="J6" s="2" t="n">
        <v>28.1</v>
      </c>
      <c r="K6" s="2" t="n">
        <v>71.40000000000001</v>
      </c>
    </row>
    <row r="7">
      <c r="A7" s="2" t="inlineStr">
        <is>
          <t>全件</t>
        </is>
      </c>
      <c r="B7" s="2" t="inlineStr">
        <is>
          <t>ヒューリスティック</t>
        </is>
      </c>
      <c r="C7" s="2" t="inlineStr">
        <is>
          <t>60日</t>
        </is>
      </c>
      <c r="D7" s="2" t="inlineStr">
        <is>
          <t>3/64</t>
        </is>
      </c>
      <c r="E7" s="2" t="n">
        <v>4.7</v>
      </c>
      <c r="F7" s="2" t="inlineStr">
        <is>
          <t>16/691</t>
        </is>
      </c>
      <c r="G7" s="2" t="n">
        <v>2.3</v>
      </c>
      <c r="H7" s="2" t="n">
        <v>2.1</v>
      </c>
      <c r="I7" s="2" t="inlineStr">
        <is>
          <t>2.1e-01</t>
        </is>
      </c>
      <c r="J7" s="2" t="n">
        <v>8.5</v>
      </c>
      <c r="K7" s="2" t="n">
        <v>15.8</v>
      </c>
    </row>
    <row r="8">
      <c r="A8" s="2" t="inlineStr">
        <is>
          <t>全件</t>
        </is>
      </c>
      <c r="B8" s="2" t="inlineStr">
        <is>
          <t>ヒューリスティック</t>
        </is>
      </c>
      <c r="C8" s="2" t="inlineStr">
        <is>
          <t>90日</t>
        </is>
      </c>
      <c r="D8" s="2" t="inlineStr">
        <is>
          <t>6/94</t>
        </is>
      </c>
      <c r="E8" s="2" t="n">
        <v>6.4</v>
      </c>
      <c r="F8" s="2" t="inlineStr">
        <is>
          <t>13/661</t>
        </is>
      </c>
      <c r="G8" s="2" t="n">
        <v>2</v>
      </c>
      <c r="H8" s="2" t="n">
        <v>3.4</v>
      </c>
      <c r="I8" s="2" t="inlineStr">
        <is>
          <t>2.2e-02</t>
        </is>
      </c>
      <c r="J8" s="2" t="n">
        <v>12.5</v>
      </c>
      <c r="K8" s="2" t="n">
        <v>31.6</v>
      </c>
    </row>
    <row r="9">
      <c r="A9" s="2" t="inlineStr">
        <is>
          <t>全件</t>
        </is>
      </c>
      <c r="B9" s="2" t="inlineStr">
        <is>
          <t>ヒューリスティック</t>
        </is>
      </c>
      <c r="C9" s="2" t="inlineStr">
        <is>
          <t>120日</t>
        </is>
      </c>
      <c r="D9" s="2" t="inlineStr">
        <is>
          <t>7/105</t>
        </is>
      </c>
      <c r="E9" s="2" t="n">
        <v>6.7</v>
      </c>
      <c r="F9" s="2" t="inlineStr">
        <is>
          <t>12/650</t>
        </is>
      </c>
      <c r="G9" s="2" t="n">
        <v>1.8</v>
      </c>
      <c r="H9" s="2" t="n">
        <v>3.8</v>
      </c>
      <c r="I9" s="2" t="inlineStr">
        <is>
          <t>1.0e-02</t>
        </is>
      </c>
      <c r="J9" s="2" t="n">
        <v>13.9</v>
      </c>
      <c r="K9" s="2" t="n">
        <v>36.8</v>
      </c>
    </row>
    <row r="10">
      <c r="A10" s="2" t="inlineStr">
        <is>
          <t>全件</t>
        </is>
      </c>
      <c r="B10" s="2" t="inlineStr">
        <is>
          <t>ヒューリスティック</t>
        </is>
      </c>
      <c r="C10" s="2" t="inlineStr">
        <is>
          <t>180日</t>
        </is>
      </c>
      <c r="D10" s="2" t="inlineStr">
        <is>
          <t>8/128</t>
        </is>
      </c>
      <c r="E10" s="2" t="n">
        <v>6.2</v>
      </c>
      <c r="F10" s="2" t="inlineStr">
        <is>
          <t>11/627</t>
        </is>
      </c>
      <c r="G10" s="2" t="n">
        <v>1.8</v>
      </c>
      <c r="H10" s="2" t="n">
        <v>3.7</v>
      </c>
      <c r="I10" s="2" t="inlineStr">
        <is>
          <t>7.9e-03</t>
        </is>
      </c>
      <c r="J10" s="2" t="n">
        <v>17</v>
      </c>
      <c r="K10" s="2" t="n">
        <v>42.1</v>
      </c>
    </row>
    <row r="11">
      <c r="A11" s="2" t="inlineStr">
        <is>
          <t>全件</t>
        </is>
      </c>
      <c r="B11" s="2" t="inlineStr">
        <is>
          <t>ヒューリスティック</t>
        </is>
      </c>
      <c r="C11" s="2" t="inlineStr">
        <is>
          <t>365日</t>
        </is>
      </c>
      <c r="D11" s="2" t="inlineStr">
        <is>
          <t>10/212</t>
        </is>
      </c>
      <c r="E11" s="2" t="n">
        <v>4.7</v>
      </c>
      <c r="F11" s="2" t="inlineStr">
        <is>
          <t>9/543</t>
        </is>
      </c>
      <c r="G11" s="2" t="n">
        <v>1.7</v>
      </c>
      <c r="H11" s="2" t="n">
        <v>2.9</v>
      </c>
      <c r="I11" s="2" t="inlineStr">
        <is>
          <t>3.4e-02</t>
        </is>
      </c>
      <c r="J11" s="2" t="n">
        <v>28.1</v>
      </c>
      <c r="K11" s="2" t="n">
        <v>52.6</v>
      </c>
    </row>
    <row r="12">
      <c r="A12" s="2" t="inlineStr">
        <is>
          <t>到達ページのみ</t>
        </is>
      </c>
      <c r="B12" s="2" t="inlineStr">
        <is>
          <t>gpt-5.5</t>
        </is>
      </c>
      <c r="C12" s="2" t="inlineStr">
        <is>
          <t>120日</t>
        </is>
      </c>
      <c r="D12" s="2" t="inlineStr">
        <is>
          <t>10/74</t>
        </is>
      </c>
      <c r="E12" s="2" t="n">
        <v>13.5</v>
      </c>
      <c r="F12" s="2" t="inlineStr">
        <is>
          <t>11/458</t>
        </is>
      </c>
      <c r="G12" s="2" t="n">
        <v>2.4</v>
      </c>
      <c r="H12" s="2" t="n">
        <v>6.3</v>
      </c>
      <c r="I12" s="2" t="inlineStr">
        <is>
          <t>1.5e-04</t>
        </is>
      </c>
      <c r="J12" s="2" t="n">
        <v>13.9</v>
      </c>
      <c r="K12" s="2" t="n">
        <v>47.6</v>
      </c>
    </row>
    <row r="13"/>
    <row r="14">
      <c r="A14" t="inlineStr">
        <is>
          <t>注</t>
        </is>
      </c>
      <c r="B14" t="inlineStr">
        <is>
          <t>RDAP登録日を取得できた755件。「新規の割合」は標本に占める新規ドメインの割合，「abuseに占める新規」はabuseと分類されたドメインのうち新規ドメインの割合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.4" customWidth="1" min="1" max="1"/>
    <col width="10" customWidth="1" min="2" max="2"/>
  </cols>
  <sheetData>
    <row r="1">
      <c r="A1" s="1" t="inlineStr">
        <is>
          <t>経過日数</t>
        </is>
      </c>
      <c r="B1" s="1" t="inlineStr">
        <is>
          <t>ドメイン数</t>
        </is>
      </c>
    </row>
    <row r="2">
      <c r="A2" s="2" t="inlineStr">
        <is>
          <t>0–30</t>
        </is>
      </c>
      <c r="B2" s="2" t="n">
        <v>50</v>
      </c>
    </row>
    <row r="3">
      <c r="A3" s="2" t="inlineStr">
        <is>
          <t>31–120</t>
        </is>
      </c>
      <c r="B3" s="2" t="n">
        <v>55</v>
      </c>
    </row>
    <row r="4">
      <c r="A4" s="2" t="inlineStr">
        <is>
          <t>121–365</t>
        </is>
      </c>
      <c r="B4" s="2" t="n">
        <v>107</v>
      </c>
    </row>
    <row r="5">
      <c r="A5" s="2" t="inlineStr">
        <is>
          <t>366–730</t>
        </is>
      </c>
      <c r="B5" s="2" t="n">
        <v>102</v>
      </c>
    </row>
    <row r="6">
      <c r="A6" s="2" t="inlineStr">
        <is>
          <t>731–1,825</t>
        </is>
      </c>
      <c r="B6" s="2" t="n">
        <v>133</v>
      </c>
    </row>
    <row r="7">
      <c r="A7" s="2" t="inlineStr">
        <is>
          <t>1,826以上</t>
        </is>
      </c>
      <c r="B7" s="2" t="n">
        <v>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.40000000000001" customWidth="1" min="1" max="1"/>
    <col width="38.8" customWidth="1" min="2" max="2"/>
  </cols>
  <sheetData>
    <row r="1">
      <c r="A1" s="1" t="inlineStr">
        <is>
          <t>先行日数（日）</t>
        </is>
      </c>
      <c r="B1" s="1" t="inlineStr">
        <is>
          <t>サービス数</t>
        </is>
      </c>
    </row>
    <row r="2">
      <c r="A2" s="2" t="inlineStr">
        <is>
          <t>0–1</t>
        </is>
      </c>
      <c r="B2" s="2" t="n">
        <v>60</v>
      </c>
    </row>
    <row r="3">
      <c r="A3" s="2" t="inlineStr">
        <is>
          <t>2–14</t>
        </is>
      </c>
      <c r="B3" s="2" t="n">
        <v>117</v>
      </c>
    </row>
    <row r="4">
      <c r="A4" s="2" t="inlineStr">
        <is>
          <t>15–30</t>
        </is>
      </c>
      <c r="B4" s="2" t="n">
        <v>67</v>
      </c>
    </row>
    <row r="5">
      <c r="A5" s="2" t="inlineStr">
        <is>
          <t>31–60</t>
        </is>
      </c>
      <c r="B5" s="2" t="n">
        <v>74</v>
      </c>
    </row>
    <row r="6">
      <c r="A6" s="2" t="inlineStr">
        <is>
          <t>61–120</t>
        </is>
      </c>
      <c r="B6" s="2" t="n">
        <v>73</v>
      </c>
    </row>
    <row r="7">
      <c r="A7" s="2" t="inlineStr">
        <is>
          <t>121–365</t>
        </is>
      </c>
      <c r="B7" s="2" t="n">
        <v>111</v>
      </c>
    </row>
    <row r="8">
      <c r="A8" s="2" t="n"/>
      <c r="B8" s="2" t="n"/>
    </row>
    <row r="9">
      <c r="A9" s="2" t="inlineStr">
        <is>
          <t>計画（過去24か月のShow HN, 重複除く）</t>
        </is>
      </c>
      <c r="B9" s="2" t="n">
        <v>828</v>
      </c>
    </row>
    <row r="10">
      <c r="A10" s="2" t="inlineStr">
        <is>
          <t>初回証明書日を取得できた件数</t>
        </is>
      </c>
      <c r="B10" s="2" t="n">
        <v>827</v>
      </c>
    </row>
    <row r="11">
      <c r="A11" s="2" t="inlineStr">
        <is>
          <t>先行率(%)</t>
        </is>
      </c>
      <c r="B11" s="2" t="n">
        <v>99.90000000000001</v>
      </c>
    </row>
    <row r="12">
      <c r="A12" s="2" t="inlineStr">
        <is>
          <t>先行率の95%CI(%)</t>
        </is>
      </c>
      <c r="B12" s="2" t="inlineStr">
        <is>
          <t>99.3〜100.0</t>
        </is>
      </c>
    </row>
    <row r="13">
      <c r="A13" s="2" t="inlineStr">
        <is>
          <t>新規ローンチ帯（先行0〜365日）</t>
        </is>
      </c>
      <c r="B13" s="2" t="n">
        <v>502</v>
      </c>
    </row>
    <row r="14">
      <c r="A14" s="2" t="inlineStr">
        <is>
          <t>先行日数 中央値</t>
        </is>
      </c>
      <c r="B14" s="2" t="n">
        <v>33</v>
      </c>
    </row>
    <row r="15">
      <c r="A15" s="2" t="inlineStr">
        <is>
          <t>先行日数 第1・第3四分位</t>
        </is>
      </c>
      <c r="B15" s="2" t="inlineStr">
        <is>
          <t>7・107</t>
        </is>
      </c>
    </row>
    <row r="16">
      <c r="A16" s="2" t="inlineStr">
        <is>
          <t>30日以上(%)</t>
        </is>
      </c>
      <c r="B16" s="2" t="n">
        <v>53</v>
      </c>
    </row>
    <row r="17">
      <c r="A17" s="2" t="inlineStr">
        <is>
          <t>90日以上(%)</t>
        </is>
      </c>
      <c r="B17" s="2" t="n">
        <v>29</v>
      </c>
    </row>
    <row r="18">
      <c r="A18" s="2" t="inlineStr">
        <is>
          <t>0〜1日（件, %）</t>
        </is>
      </c>
      <c r="B18" s="2" t="inlineStr">
        <is>
          <t>60, 12</t>
        </is>
      </c>
    </row>
    <row r="19">
      <c r="A19" s="2" t="inlineStr">
        <is>
          <t>RDAP登録日を取得できた件数</t>
        </is>
      </c>
      <c r="B19" s="2" t="inlineStr">
        <is>
          <t>675（81.5%）</t>
        </is>
      </c>
    </row>
    <row r="20">
      <c r="A20" s="2" t="inlineStr">
        <is>
          <t>新規ローンチ帯で登録日もある件数</t>
        </is>
      </c>
      <c r="B20" s="2" t="n">
        <v>409</v>
      </c>
    </row>
    <row r="21">
      <c r="A21" s="2" t="inlineStr">
        <is>
          <t>登録→初回証明書 中央値（日）</t>
        </is>
      </c>
      <c r="B21" s="2" t="n">
        <v>0</v>
      </c>
    </row>
    <row r="22">
      <c r="A22" s="2" t="inlineStr">
        <is>
          <t>登録→初回証明書 7日以内(%)</t>
        </is>
      </c>
      <c r="B22" s="2" t="n">
        <v>82</v>
      </c>
    </row>
    <row r="23">
      <c r="A23" s="2" t="inlineStr">
        <is>
          <t>登録から1年以内に告知（件, %）</t>
        </is>
      </c>
      <c r="B23" s="2" t="inlineStr">
        <is>
          <t>446, 66.1（CI 62.4〜69.5）</t>
        </is>
      </c>
    </row>
    <row r="24">
      <c r="A24" s="2" t="inlineStr">
        <is>
          <t>その登録→告知 中央値・第1・第3四分位</t>
        </is>
      </c>
      <c r="B24" s="2" t="inlineStr">
        <is>
          <t>36・9・110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2026-10-14T00:35:56Z</dcterms:created>
  <dcterms:modified xmlns:dcterms="http://purl.org/dc/terms/" xmlns:xsi="http://www.w3.org/2001/XMLSchema-instance" xsi:type="dcterms:W3CDTF">2026-10-14T00:35:56Z</dcterms:modified>
</cp:coreProperties>
</file>